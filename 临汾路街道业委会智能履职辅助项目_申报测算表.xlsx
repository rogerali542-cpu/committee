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况" sheetId="1" state="visible" r:id="rId1"/>
    <sheet xmlns:r="http://schemas.openxmlformats.org/officeDocument/2006/relationships" name="功能模块清单" sheetId="2" state="visible" r:id="rId2"/>
    <sheet xmlns:r="http://schemas.openxmlformats.org/officeDocument/2006/relationships" name="成本测算与申报预算" sheetId="3" state="visible" r:id="rId3"/>
    <sheet xmlns:r="http://schemas.openxmlformats.org/officeDocument/2006/relationships" name="建设周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#,##0.0&quot; 万元&quot;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000000"/>
      <sz val="10.5"/>
    </font>
    <font>
      <name val="微软雅黑"/>
      <color rgb="000000FF"/>
      <sz val="10.5"/>
    </font>
    <font>
      <name val="微软雅黑"/>
      <i val="1"/>
      <color rgb="00595959"/>
      <sz val="9"/>
    </font>
    <font>
      <name val="微软雅黑"/>
      <b val="1"/>
      <color rgb="00FFFFFF"/>
      <sz val="10.5"/>
    </font>
    <font>
      <name val="微软雅黑"/>
      <color rgb="00000000"/>
      <sz val="10.5"/>
    </font>
    <font>
      <name val="微软雅黑"/>
      <b val="1"/>
      <color rgb="001F4E79"/>
      <sz val="13"/>
    </font>
    <font>
      <name val="微软雅黑"/>
      <b val="1"/>
      <color rgb="00C00000"/>
      <sz val="14"/>
    </font>
    <font>
      <name val="微软雅黑"/>
      <b val="1"/>
      <color rgb="00375623"/>
      <sz val="11"/>
    </font>
    <font>
      <name val="微软雅黑"/>
      <b val="1"/>
      <color rgb="00FFFFFF"/>
      <sz val="13"/>
    </font>
    <font>
      <name val="微软雅黑"/>
      <b val="1"/>
      <color rgb="00375623"/>
      <sz val="12"/>
    </font>
    <font>
      <name val="微软雅黑"/>
      <b val="1"/>
      <color rgb="00C00000"/>
      <sz val="10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right" vertical="center" wrapText="1"/>
    </xf>
    <xf numFmtId="166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right" vertical="center" wrapText="1"/>
    </xf>
    <xf numFmtId="166" fontId="11" fillId="6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0" fillId="0" borderId="4" pivotButton="0" quotePrefix="0" xfId="0"/>
    <xf numFmtId="164" fontId="2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165" fontId="2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5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6" fillId="3" borderId="1" pivotButton="0" quotePrefix="0" xfId="0"/>
    <xf numFmtId="0" fontId="2" fillId="6" borderId="1" applyAlignment="1" pivotButton="0" quotePrefix="0" xfId="0">
      <alignment horizontal="right" vertical="center" wrapText="1"/>
    </xf>
    <xf numFmtId="166" fontId="9" fillId="6" borderId="1" applyAlignment="1" pivotButton="0" quotePrefix="0" xfId="0">
      <alignment horizontal="center" vertical="center" wrapText="1"/>
    </xf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20" customWidth="1" min="4" max="4"/>
    <col width="18" customWidth="1" min="5" max="5"/>
  </cols>
  <sheetData>
    <row r="2" ht="34" customHeight="1">
      <c r="B2" s="1" t="inlineStr">
        <is>
          <t>临汾路街道业委会智能履职辅助项目 · 申报测算表</t>
        </is>
      </c>
    </row>
    <row r="4" ht="30" customHeight="1">
      <c r="B4" s="2" t="inlineStr">
        <is>
          <t>项目名称</t>
        </is>
      </c>
      <c r="C4" s="3" t="inlineStr">
        <is>
          <t>临汾路街道业委会智能履职辅助项目</t>
        </is>
      </c>
      <c r="D4" s="4" t="n"/>
      <c r="E4" s="4" t="n"/>
    </row>
    <row r="5" ht="30" customHeight="1">
      <c r="B5" s="2" t="inlineStr">
        <is>
          <t>申报单位</t>
        </is>
      </c>
      <c r="C5" s="3" t="inlineStr">
        <is>
          <t>上海市静安区人民政府临汾路街道办事处</t>
        </is>
      </c>
      <c r="D5" s="4" t="n"/>
      <c r="E5" s="4" t="n"/>
    </row>
    <row r="6" ht="30" customHeight="1">
      <c r="B6" s="2" t="inlineStr">
        <is>
          <t>建设性质</t>
        </is>
      </c>
      <c r="C6" s="3" t="inlineStr">
        <is>
          <t>新建（自主从零开发）</t>
        </is>
      </c>
      <c r="D6" s="4" t="n"/>
      <c r="E6" s="4" t="n"/>
    </row>
    <row r="7" ht="44" customHeight="1">
      <c r="B7" s="2" t="inlineStr">
        <is>
          <t>建设内容</t>
        </is>
      </c>
      <c r="C7" s="3" t="inlineStr">
        <is>
          <t>会议全链路、AI录音转写与纪要、业主接待、学习培训、印章登记、履职档案与可信存证</t>
        </is>
      </c>
      <c r="D7" s="4" t="n"/>
      <c r="E7" s="4" t="n"/>
    </row>
    <row r="8" ht="44" customHeight="1">
      <c r="B8" s="2" t="inlineStr">
        <is>
          <t>交付形态</t>
        </is>
      </c>
      <c r="C8" s="3" t="inlineStr">
        <is>
          <t>微信小程序 + 管理后台 + AI语音/大模型服务；对接街道现有可信档案馆存证</t>
        </is>
      </c>
      <c r="D8" s="4" t="n"/>
      <c r="E8" s="4" t="n"/>
    </row>
    <row r="9" ht="30" customHeight="1">
      <c r="B9" s="2" t="inlineStr">
        <is>
          <t>算力资源</t>
        </is>
      </c>
      <c r="C9" s="3" t="inlineStr">
        <is>
          <t>大模型、语音识别等算力资源由政府侧统一承担，不计入本项目预算</t>
        </is>
      </c>
      <c r="D9" s="4" t="n"/>
      <c r="E9" s="4" t="n"/>
    </row>
    <row r="11">
      <c r="B11" s="5" t="inlineStr">
        <is>
          <t>申 报 汇 总</t>
        </is>
      </c>
      <c r="C11" s="6" t="n"/>
      <c r="D11" s="6" t="n"/>
      <c r="E11" s="6" t="n"/>
    </row>
    <row r="12">
      <c r="B12" s="3" t="inlineStr">
        <is>
          <t>预计人月合计</t>
        </is>
      </c>
      <c r="C12" s="4" t="n"/>
      <c r="D12" s="7">
        <f>'成本测算与申报预算'!C19</f>
        <v/>
      </c>
      <c r="E12" s="8" t="inlineStr">
        <is>
          <t>人月</t>
        </is>
      </c>
    </row>
    <row r="13">
      <c r="B13" s="3" t="inlineStr">
        <is>
          <t>人月单价</t>
        </is>
      </c>
      <c r="C13" s="4" t="n"/>
      <c r="D13" s="7">
        <f>'成本测算与申报预算'!D3</f>
        <v/>
      </c>
      <c r="E13" s="8" t="inlineStr">
        <is>
          <t>万元/人月</t>
        </is>
      </c>
    </row>
    <row r="14">
      <c r="B14" s="3" t="inlineStr">
        <is>
          <t>软件开发费（申报）</t>
        </is>
      </c>
      <c r="C14" s="4" t="n"/>
      <c r="D14" s="7">
        <f>'成本测算与申报预算'!F19</f>
        <v/>
      </c>
      <c r="E14" s="8" t="inlineStr">
        <is>
          <t>万元</t>
        </is>
      </c>
    </row>
    <row r="15">
      <c r="B15" s="3" t="inlineStr">
        <is>
          <t>其他费用（申报）</t>
        </is>
      </c>
      <c r="C15" s="4" t="n"/>
      <c r="D15" s="7">
        <f>'成本测算与申报预算'!F31</f>
        <v/>
      </c>
      <c r="E15" s="8" t="inlineStr">
        <is>
          <t>万元</t>
        </is>
      </c>
    </row>
    <row r="16">
      <c r="B16" s="3" t="inlineStr">
        <is>
          <t>建设周期</t>
        </is>
      </c>
      <c r="C16" s="4" t="n"/>
      <c r="D16" s="7">
        <f>建设周期!D7</f>
        <v/>
      </c>
      <c r="E16" s="8" t="inlineStr">
        <is>
          <t>个月</t>
        </is>
      </c>
    </row>
    <row r="17" ht="32" customHeight="1">
      <c r="B17" s="9" t="inlineStr">
        <is>
          <t>项目预计总成本</t>
        </is>
      </c>
      <c r="D17" s="10">
        <f>'成本测算与申报预算'!E33</f>
        <v/>
      </c>
    </row>
    <row r="18" ht="40" customHeight="1">
      <c r="B18" s="11" t="inlineStr">
        <is>
          <t>财政申报金额</t>
        </is>
      </c>
      <c r="D18" s="12">
        <f>'成本测算与申报预算'!F33</f>
        <v/>
      </c>
    </row>
    <row r="19" ht="28" customHeight="1">
      <c r="B19" s="13" t="inlineStr">
        <is>
          <t>差额（前期自筹/自有经费）</t>
        </is>
      </c>
      <c r="D19" s="14">
        <f>'成本测算与申报预算'!E33-'成本测算与申报预算'!F33</f>
        <v/>
      </c>
    </row>
    <row r="21" ht="52" customHeight="1">
      <c r="B21" s="15" t="inlineStr">
        <is>
          <t>说明：预计总成本为据实测算的项目价值；财政申报金额压缩至 40 万元，差额部分由前期自筹投入/街道自有经费承担。明细见「成本测算与申报预算」表，数字随蓝色单元格实时联动。</t>
        </is>
      </c>
    </row>
  </sheetData>
  <mergeCells count="20">
    <mergeCell ref="B16:C16"/>
    <mergeCell ref="D19:E19"/>
    <mergeCell ref="C9:E9"/>
    <mergeCell ref="B18:C18"/>
    <mergeCell ref="B12:C12"/>
    <mergeCell ref="C8:E8"/>
    <mergeCell ref="B14:C14"/>
    <mergeCell ref="B17:C17"/>
    <mergeCell ref="C7:E7"/>
    <mergeCell ref="D17:E17"/>
    <mergeCell ref="B13:C13"/>
    <mergeCell ref="B19:C19"/>
    <mergeCell ref="B21:E21"/>
    <mergeCell ref="B11:E11"/>
    <mergeCell ref="B2:E2"/>
    <mergeCell ref="D18:E18"/>
    <mergeCell ref="C6:E6"/>
    <mergeCell ref="B15:C15"/>
    <mergeCell ref="C5:E5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42" customWidth="1" min="4" max="4"/>
    <col width="14" customWidth="1" min="5" max="5"/>
  </cols>
  <sheetData>
    <row r="1" ht="30" customHeight="1">
      <c r="A1" s="1" t="inlineStr">
        <is>
          <t>功能模块清单（申报建设内容）</t>
        </is>
      </c>
    </row>
    <row r="2">
      <c r="A2" s="16" t="inlineStr">
        <is>
          <t>序号</t>
        </is>
      </c>
      <c r="B2" s="16" t="inlineStr">
        <is>
          <t>一级功能模块</t>
        </is>
      </c>
      <c r="C2" s="16" t="inlineStr">
        <is>
          <t>二级功能</t>
        </is>
      </c>
      <c r="D2" s="16" t="inlineStr">
        <is>
          <t>功能说明</t>
        </is>
      </c>
      <c r="E2" s="16" t="inlineStr">
        <is>
          <t>当前状态</t>
        </is>
      </c>
    </row>
    <row r="3" ht="44" customHeight="1">
      <c r="A3" s="17" t="n">
        <v>1</v>
      </c>
      <c r="B3" s="3" t="inlineStr">
        <is>
          <t>业委会会议智能辅助</t>
        </is>
      </c>
      <c r="C3" s="3" t="inlineStr">
        <is>
          <t>会议全链路</t>
        </is>
      </c>
      <c r="D3" s="3" t="inlineStr">
        <is>
          <t>会议创建、议题与材料、居委会列席、线下签到与表决签字表、线上会议主任程序把关、表决结果登记</t>
        </is>
      </c>
      <c r="E3" s="17" t="inlineStr">
        <is>
          <t>已开发原型</t>
        </is>
      </c>
    </row>
    <row r="4" ht="44" customHeight="1">
      <c r="A4" s="17" t="n">
        <v>2</v>
      </c>
      <c r="B4" s="3" t="inlineStr">
        <is>
          <t>业委会会议智能辅助</t>
        </is>
      </c>
      <c r="C4" s="3" t="inlineStr">
        <is>
          <t>纪要公示状态机</t>
        </is>
      </c>
      <c r="D4" s="3" t="inlineStr">
        <is>
          <t>公示/撤回留痕、公示后不可静默改、纪要修订版本历史、对外脱敏与撤回墓碑态</t>
        </is>
      </c>
      <c r="E4" s="17" t="inlineStr">
        <is>
          <t>已开发原型</t>
        </is>
      </c>
    </row>
    <row r="5" ht="44" customHeight="1">
      <c r="A5" s="17" t="n">
        <v>3</v>
      </c>
      <c r="B5" s="3" t="inlineStr">
        <is>
          <t>AI会议助手</t>
        </is>
      </c>
      <c r="C5" s="3" t="inlineStr">
        <is>
          <t>录音转写与纪要</t>
        </is>
      </c>
      <c r="D5" s="3" t="inlineStr">
        <is>
          <t>语音识别转写、议题整理、纪要初稿自动生成、待办提取</t>
        </is>
      </c>
      <c r="E5" s="17" t="inlineStr">
        <is>
          <t>已开发原型</t>
        </is>
      </c>
    </row>
    <row r="6" ht="44" customHeight="1">
      <c r="A6" s="17" t="n">
        <v>4</v>
      </c>
      <c r="B6" s="3" t="inlineStr">
        <is>
          <t>通知送达与时限提醒</t>
        </is>
      </c>
      <c r="C6" s="3" t="inlineStr">
        <is>
          <t>通知与期限</t>
        </is>
      </c>
      <c r="D6" s="3" t="inlineStr">
        <is>
          <t>提前7天通知、送达记录、会后3日公示提醒、年度会议次数统计</t>
        </is>
      </c>
      <c r="E6" s="17" t="inlineStr">
        <is>
          <t>已开发原型</t>
        </is>
      </c>
    </row>
    <row r="7" ht="44" customHeight="1">
      <c r="A7" s="17" t="n">
        <v>5</v>
      </c>
      <c r="B7" s="3" t="inlineStr">
        <is>
          <t>业主接待与反馈闭环</t>
        </is>
      </c>
      <c r="C7" s="3" t="inlineStr">
        <is>
          <t>接待与反馈</t>
        </is>
      </c>
      <c r="D7" s="3" t="inlineStr">
        <is>
          <t>接待登记、物业反馈留痕、业主反馈结果、年度接待统计</t>
        </is>
      </c>
      <c r="E7" s="17" t="inlineStr">
        <is>
          <t>已开发原型</t>
        </is>
      </c>
    </row>
    <row r="8" ht="44" customHeight="1">
      <c r="A8" s="17" t="n">
        <v>6</v>
      </c>
      <c r="B8" s="3" t="inlineStr">
        <is>
          <t>政策学习与业务培训</t>
        </is>
      </c>
      <c r="C8" s="3" t="inlineStr">
        <is>
          <t>学习培训</t>
        </is>
      </c>
      <c r="D8" s="3" t="inlineStr">
        <is>
          <t>学习/培训记录、参训人员、签到与材料、年度统计、政策资料智能检索问答</t>
        </is>
      </c>
      <c r="E8" s="17" t="inlineStr">
        <is>
          <t>已开发原型</t>
        </is>
      </c>
    </row>
    <row r="9" ht="44" customHeight="1">
      <c r="A9" s="17" t="n">
        <v>7</v>
      </c>
      <c r="B9" s="3" t="inlineStr">
        <is>
          <t>印章使用登记与风险留痕</t>
        </is>
      </c>
      <c r="C9" s="3" t="inlineStr">
        <is>
          <t>用印台账</t>
        </is>
      </c>
      <c r="D9" s="3" t="inlineStr">
        <is>
          <t>印章与保管委员、用印记录与确认、签字盖章件上传、台账查询导出</t>
        </is>
      </c>
      <c r="E9" s="18" t="inlineStr">
        <is>
          <t>本期新增开发</t>
        </is>
      </c>
    </row>
    <row r="10" ht="44" customHeight="1">
      <c r="A10" s="17" t="n">
        <v>8</v>
      </c>
      <c r="B10" s="3" t="inlineStr">
        <is>
          <t>履职档案与可信存证</t>
        </is>
      </c>
      <c r="C10" s="3" t="inlineStr">
        <is>
          <t>归档与存证</t>
        </is>
      </c>
      <c r="D10" s="3" t="inlineStr">
        <is>
          <t>材料分类归档、年度履职电子档案、公示纪要对接可信档案馆存证与一键验真</t>
        </is>
      </c>
      <c r="E10" s="17" t="inlineStr">
        <is>
          <t>已开发原型</t>
        </is>
      </c>
    </row>
    <row r="11" ht="44" customHeight="1">
      <c r="A11" s="17" t="n">
        <v>9</v>
      </c>
      <c r="B11" s="3" t="inlineStr">
        <is>
          <t>公开信息与业主端</t>
        </is>
      </c>
      <c r="C11" s="3" t="inlineStr">
        <is>
          <t>对外公开</t>
        </is>
      </c>
      <c r="D11" s="3" t="inlineStr">
        <is>
          <t>已公示纪要/结果对业主公开、公开音频、结果分享、物业公开信息</t>
        </is>
      </c>
      <c r="E11" s="17" t="inlineStr">
        <is>
          <t>已开发原型</t>
        </is>
      </c>
    </row>
    <row r="12" ht="44" customHeight="1">
      <c r="A12" s="17" t="n">
        <v>10</v>
      </c>
      <c r="B12" s="3" t="inlineStr">
        <is>
          <t>权限、安全与敏感信息保护</t>
        </is>
      </c>
      <c r="C12" s="3" t="inlineStr">
        <is>
          <t>角色权限</t>
        </is>
      </c>
      <c r="D12" s="3" t="inlineStr">
        <is>
          <t>6类角色权限矩阵、阶段锁定、敏感信息脱敏、操作留痕</t>
        </is>
      </c>
      <c r="E12" s="17" t="inlineStr">
        <is>
          <t>已开发原型</t>
        </is>
      </c>
    </row>
    <row r="13" ht="44" customHeight="1">
      <c r="A13" s="17" t="n">
        <v>11</v>
      </c>
      <c r="B13" s="3" t="inlineStr">
        <is>
          <t>企业微信/身份认证集成</t>
        </is>
      </c>
      <c r="C13" s="3" t="inlineStr">
        <is>
          <t>登录与组织</t>
        </is>
      </c>
      <c r="D13" s="3" t="inlineStr">
        <is>
          <t>身份认证登录、企业微信/组织对接</t>
        </is>
      </c>
      <c r="E13" s="17" t="inlineStr">
        <is>
          <t>已开发原型</t>
        </is>
      </c>
    </row>
    <row r="14" ht="44" customHeight="1">
      <c r="A14" s="17" t="n">
        <v>12</v>
      </c>
      <c r="B14" s="3" t="inlineStr">
        <is>
          <t>履职数据统计与仪表盘</t>
        </is>
      </c>
      <c r="C14" s="3" t="inlineStr">
        <is>
          <t>数据看板</t>
        </is>
      </c>
      <c r="D14" s="3" t="inlineStr">
        <is>
          <t>履职看板、送达率/签到率/参与率等年度统计</t>
        </is>
      </c>
      <c r="E14" s="17" t="inlineStr">
        <is>
          <t>已开发原型</t>
        </is>
      </c>
    </row>
    <row r="15" ht="44" customHeight="1">
      <c r="A15" s="17" t="n">
        <v>13</v>
      </c>
      <c r="B15" s="3" t="inlineStr">
        <is>
          <t>附件与文件服务</t>
        </is>
      </c>
      <c r="C15" s="3" t="inlineStr">
        <is>
          <t>文件管理</t>
        </is>
      </c>
      <c r="D15" s="3" t="inlineStr">
        <is>
          <t>附件上传、存储、导出等基础文件服务</t>
        </is>
      </c>
      <c r="E15" s="17" t="inlineStr">
        <is>
          <t>已开发原型</t>
        </is>
      </c>
    </row>
    <row r="16" ht="54" customHeight="1">
      <c r="A16" s="15" t="inlineStr">
        <is>
          <t>注：「已开发原型」指前期已自主完成核心功能原型开发与验证（现有代码：后端13个服务模块约1.5万行、小程序22个页面约2.3万行、语音服务约0.2万行）；本次申报为正式立项建设，含功能完善、印章模块新增、可信档案馆对接、测试验收与一年运维。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" customWidth="1" min="3" max="3"/>
    <col width="9" customWidth="1" min="4" max="4"/>
    <col width="13" customWidth="1" min="5" max="5"/>
    <col width="13" customWidth="1" min="6" max="6"/>
    <col width="26" customWidth="1" min="7" max="7"/>
  </cols>
  <sheetData>
    <row r="1" ht="32" customHeight="1">
      <c r="A1" s="1" t="inlineStr">
        <is>
          <t>成本测算与申报预算明细</t>
        </is>
      </c>
    </row>
    <row r="3">
      <c r="B3" s="19" t="inlineStr">
        <is>
          <t>开发人月综合单价（可调，蓝色）</t>
        </is>
      </c>
      <c r="D3" s="20" t="n">
        <v>2</v>
      </c>
      <c r="E3" s="8" t="inlineStr">
        <is>
          <t>单位：万元 / 人月；上海中端市场价 2.0，可在 1.8～2.5 调整</t>
        </is>
      </c>
      <c r="F3" s="4" t="n"/>
      <c r="G3" s="4" t="n"/>
    </row>
    <row r="5">
      <c r="A5" s="21" t="inlineStr">
        <is>
          <t>一、应用软件开发费</t>
        </is>
      </c>
      <c r="B5" s="6" t="n"/>
      <c r="C5" s="6" t="n"/>
      <c r="D5" s="6" t="n"/>
      <c r="E5" s="6" t="n"/>
      <c r="F5" s="6" t="n"/>
      <c r="G5" s="6" t="n"/>
    </row>
    <row r="6">
      <c r="A6" s="16" t="inlineStr">
        <is>
          <t>序号</t>
        </is>
      </c>
      <c r="B6" s="16" t="inlineStr">
        <is>
          <t>功能模块</t>
        </is>
      </c>
      <c r="C6" s="16" t="inlineStr">
        <is>
          <t>人月</t>
        </is>
      </c>
      <c r="D6" s="16" t="inlineStr">
        <is>
          <t>单价</t>
        </is>
      </c>
      <c r="E6" s="16" t="inlineStr">
        <is>
          <t>预计成本(万元)</t>
        </is>
      </c>
      <c r="F6" s="16" t="inlineStr">
        <is>
          <t>申报预算(万元)</t>
        </is>
      </c>
      <c r="G6" s="16" t="inlineStr">
        <is>
          <t>说明</t>
        </is>
      </c>
    </row>
    <row r="7">
      <c r="A7" s="17" t="n">
        <v>1</v>
      </c>
      <c r="B7" s="3" t="inlineStr">
        <is>
          <t>业委会会议智能辅助（含公示状态机/纪要修订）</t>
        </is>
      </c>
      <c r="C7" s="22" t="n">
        <v>5</v>
      </c>
      <c r="D7" s="23">
        <f>$D$3</f>
        <v/>
      </c>
      <c r="E7" s="24">
        <f>C7*$D$3</f>
        <v/>
      </c>
      <c r="F7" s="25" t="n">
        <v>6</v>
      </c>
      <c r="G7" s="8" t="inlineStr">
        <is>
          <t>已开发原型，本期完善</t>
        </is>
      </c>
    </row>
    <row r="8">
      <c r="A8" s="17" t="n">
        <v>2</v>
      </c>
      <c r="B8" s="3" t="inlineStr">
        <is>
          <t>AI会议助手（录音转写+纪要生成）</t>
        </is>
      </c>
      <c r="C8" s="22" t="n">
        <v>3.5</v>
      </c>
      <c r="D8" s="23">
        <f>$D$3</f>
        <v/>
      </c>
      <c r="E8" s="24">
        <f>C8*$D$3</f>
        <v/>
      </c>
      <c r="F8" s="25" t="n">
        <v>4</v>
      </c>
      <c r="G8" s="8" t="inlineStr">
        <is>
          <t>已开发原型，本期完善</t>
        </is>
      </c>
    </row>
    <row r="9">
      <c r="A9" s="17" t="n">
        <v>3</v>
      </c>
      <c r="B9" s="3" t="inlineStr">
        <is>
          <t>通知送达与时限提醒</t>
        </is>
      </c>
      <c r="C9" s="22" t="n">
        <v>1.5</v>
      </c>
      <c r="D9" s="23">
        <f>$D$3</f>
        <v/>
      </c>
      <c r="E9" s="24">
        <f>C9*$D$3</f>
        <v/>
      </c>
      <c r="F9" s="25" t="n">
        <v>2</v>
      </c>
      <c r="G9" s="8" t="inlineStr">
        <is>
          <t>已开发原型</t>
        </is>
      </c>
    </row>
    <row r="10">
      <c r="A10" s="17" t="n">
        <v>4</v>
      </c>
      <c r="B10" s="3" t="inlineStr">
        <is>
          <t>业主接待与反馈闭环</t>
        </is>
      </c>
      <c r="C10" s="22" t="n">
        <v>2</v>
      </c>
      <c r="D10" s="23">
        <f>$D$3</f>
        <v/>
      </c>
      <c r="E10" s="24">
        <f>C10*$D$3</f>
        <v/>
      </c>
      <c r="F10" s="25" t="n">
        <v>3</v>
      </c>
      <c r="G10" s="8" t="inlineStr">
        <is>
          <t>已开发原型，本期完善</t>
        </is>
      </c>
    </row>
    <row r="11">
      <c r="A11" s="17" t="n">
        <v>5</v>
      </c>
      <c r="B11" s="3" t="inlineStr">
        <is>
          <t>政策学习与业务培训</t>
        </is>
      </c>
      <c r="C11" s="22" t="n">
        <v>1.5</v>
      </c>
      <c r="D11" s="23">
        <f>$D$3</f>
        <v/>
      </c>
      <c r="E11" s="24">
        <f>C11*$D$3</f>
        <v/>
      </c>
      <c r="F11" s="25" t="n">
        <v>2</v>
      </c>
      <c r="G11" s="8" t="inlineStr">
        <is>
          <t>已开发原型</t>
        </is>
      </c>
    </row>
    <row r="12">
      <c r="A12" s="17" t="n">
        <v>6</v>
      </c>
      <c r="B12" s="3" t="inlineStr">
        <is>
          <t>印章使用登记与风险留痕</t>
        </is>
      </c>
      <c r="C12" s="22" t="n">
        <v>1.5</v>
      </c>
      <c r="D12" s="23">
        <f>$D$3</f>
        <v/>
      </c>
      <c r="E12" s="24">
        <f>C12*$D$3</f>
        <v/>
      </c>
      <c r="F12" s="25" t="n">
        <v>3</v>
      </c>
      <c r="G12" s="8" t="inlineStr">
        <is>
          <t>本期新增开发，全额申报</t>
        </is>
      </c>
    </row>
    <row r="13">
      <c r="A13" s="17" t="n">
        <v>7</v>
      </c>
      <c r="B13" s="3" t="inlineStr">
        <is>
          <t>履职档案与可信存证（含档案馆接口）</t>
        </is>
      </c>
      <c r="C13" s="22" t="n">
        <v>2.5</v>
      </c>
      <c r="D13" s="23">
        <f>$D$3</f>
        <v/>
      </c>
      <c r="E13" s="24">
        <f>C13*$D$3</f>
        <v/>
      </c>
      <c r="F13" s="25" t="n">
        <v>4</v>
      </c>
      <c r="G13" s="8" t="inlineStr">
        <is>
          <t>存证对接为本期重点</t>
        </is>
      </c>
    </row>
    <row r="14">
      <c r="A14" s="17" t="n">
        <v>8</v>
      </c>
      <c r="B14" s="3" t="inlineStr">
        <is>
          <t>公开信息与业主端</t>
        </is>
      </c>
      <c r="C14" s="22" t="n">
        <v>1.5</v>
      </c>
      <c r="D14" s="23">
        <f>$D$3</f>
        <v/>
      </c>
      <c r="E14" s="24">
        <f>C14*$D$3</f>
        <v/>
      </c>
      <c r="F14" s="25" t="n">
        <v>2</v>
      </c>
      <c r="G14" s="8" t="inlineStr">
        <is>
          <t>已开发原型</t>
        </is>
      </c>
    </row>
    <row r="15">
      <c r="A15" s="17" t="n">
        <v>9</v>
      </c>
      <c r="B15" s="3" t="inlineStr">
        <is>
          <t>权限、安全与敏感信息保护</t>
        </is>
      </c>
      <c r="C15" s="22" t="n">
        <v>2</v>
      </c>
      <c r="D15" s="23">
        <f>$D$3</f>
        <v/>
      </c>
      <c r="E15" s="24">
        <f>C15*$D$3</f>
        <v/>
      </c>
      <c r="F15" s="25" t="n">
        <v>3</v>
      </c>
      <c r="G15" s="8" t="inlineStr">
        <is>
          <t>已开发原型，本期完善</t>
        </is>
      </c>
    </row>
    <row r="16">
      <c r="A16" s="17" t="n">
        <v>10</v>
      </c>
      <c r="B16" s="3" t="inlineStr">
        <is>
          <t>企业微信/身份认证集成</t>
        </is>
      </c>
      <c r="C16" s="22" t="n">
        <v>1</v>
      </c>
      <c r="D16" s="23">
        <f>$D$3</f>
        <v/>
      </c>
      <c r="E16" s="24">
        <f>C16*$D$3</f>
        <v/>
      </c>
      <c r="F16" s="25" t="n">
        <v>1</v>
      </c>
      <c r="G16" s="8" t="inlineStr">
        <is>
          <t>已开发原型</t>
        </is>
      </c>
    </row>
    <row r="17">
      <c r="A17" s="17" t="n">
        <v>11</v>
      </c>
      <c r="B17" s="3" t="inlineStr">
        <is>
          <t>履职数据统计与仪表盘</t>
        </is>
      </c>
      <c r="C17" s="22" t="n">
        <v>1</v>
      </c>
      <c r="D17" s="23">
        <f>$D$3</f>
        <v/>
      </c>
      <c r="E17" s="24">
        <f>C17*$D$3</f>
        <v/>
      </c>
      <c r="F17" s="25" t="n">
        <v>1</v>
      </c>
      <c r="G17" s="8" t="inlineStr">
        <is>
          <t>已开发原型</t>
        </is>
      </c>
    </row>
    <row r="18">
      <c r="A18" s="17" t="n">
        <v>12</v>
      </c>
      <c r="B18" s="3" t="inlineStr">
        <is>
          <t>附件与文件服务</t>
        </is>
      </c>
      <c r="C18" s="22" t="n">
        <v>1</v>
      </c>
      <c r="D18" s="23">
        <f>$D$3</f>
        <v/>
      </c>
      <c r="E18" s="24">
        <f>C18*$D$3</f>
        <v/>
      </c>
      <c r="F18" s="25" t="n">
        <v>1</v>
      </c>
      <c r="G18" s="8" t="inlineStr">
        <is>
          <t>已开发原型</t>
        </is>
      </c>
    </row>
    <row r="19">
      <c r="A19" s="26" t="inlineStr">
        <is>
          <t>应用软件开发 小计</t>
        </is>
      </c>
      <c r="B19" s="27" t="n"/>
      <c r="C19" s="28">
        <f>SUM(C7:C18)</f>
        <v/>
      </c>
      <c r="D19" s="29" t="inlineStr"/>
      <c r="E19" s="30">
        <f>SUM(E7:E18)</f>
        <v/>
      </c>
      <c r="F19" s="30">
        <f>SUM(F7:F18)</f>
        <v/>
      </c>
      <c r="G19" s="29" t="inlineStr"/>
    </row>
    <row r="21">
      <c r="A21" s="21" t="inlineStr">
        <is>
          <t>二、其他费用</t>
        </is>
      </c>
      <c r="B21" s="6" t="n"/>
      <c r="C21" s="6" t="n"/>
      <c r="D21" s="6" t="n"/>
      <c r="E21" s="6" t="n"/>
      <c r="F21" s="6" t="n"/>
      <c r="G21" s="6" t="n"/>
    </row>
    <row r="22">
      <c r="A22" s="16" t="inlineStr">
        <is>
          <t>序号</t>
        </is>
      </c>
      <c r="B22" s="16" t="inlineStr">
        <is>
          <t>费用科目</t>
        </is>
      </c>
      <c r="C22" s="31" t="n"/>
      <c r="D22" s="27" t="n"/>
      <c r="E22" s="16" t="inlineStr">
        <is>
          <t>预计成本(万元)</t>
        </is>
      </c>
      <c r="F22" s="16" t="inlineStr">
        <is>
          <t>申报预算(万元)</t>
        </is>
      </c>
      <c r="G22" s="16" t="inlineStr">
        <is>
          <t>说明</t>
        </is>
      </c>
    </row>
    <row r="23">
      <c r="A23" s="17" t="n">
        <v>1</v>
      </c>
      <c r="B23" s="3" t="inlineStr">
        <is>
          <t>系统部署与环境初始化</t>
        </is>
      </c>
      <c r="E23" s="25" t="n">
        <v>1.5</v>
      </c>
      <c r="F23" s="25" t="n">
        <v>1</v>
      </c>
      <c r="G23" s="8" t="inlineStr">
        <is>
          <t>服务器环境、部署上线</t>
        </is>
      </c>
    </row>
    <row r="24">
      <c r="A24" s="17" t="n">
        <v>2</v>
      </c>
      <c r="B24" s="3" t="inlineStr">
        <is>
          <t>基础数据初始化与迁移</t>
        </is>
      </c>
      <c r="E24" s="25" t="n">
        <v>0.5</v>
      </c>
      <c r="F24" s="25" t="n">
        <v>0.5</v>
      </c>
      <c r="G24" s="8" t="inlineStr">
        <is>
          <t>业委会/小区/角色等基础数据</t>
        </is>
      </c>
    </row>
    <row r="25">
      <c r="A25" s="17" t="n">
        <v>3</v>
      </c>
      <c r="B25" s="3" t="inlineStr">
        <is>
          <t>软件测试与第三方验收支持</t>
        </is>
      </c>
      <c r="E25" s="25" t="n">
        <v>2</v>
      </c>
      <c r="F25" s="25" t="n">
        <v>2</v>
      </c>
      <c r="G25" s="8" t="inlineStr">
        <is>
          <t>功能/性能测试、验收配合</t>
        </is>
      </c>
    </row>
    <row r="26">
      <c r="A26" s="17" t="n">
        <v>4</v>
      </c>
      <c r="B26" s="3" t="inlineStr">
        <is>
          <t>用户培训（辖区推广）</t>
        </is>
      </c>
      <c r="E26" s="25" t="n">
        <v>0.7</v>
      </c>
      <c r="F26" s="25" t="n">
        <v>0.7</v>
      </c>
      <c r="G26" s="8" t="inlineStr">
        <is>
          <t>各业委会现场培训</t>
        </is>
      </c>
    </row>
    <row r="27">
      <c r="A27" s="17" t="n">
        <v>5</v>
      </c>
      <c r="B27" s="3" t="inlineStr">
        <is>
          <t>操作手册与文档</t>
        </is>
      </c>
      <c r="E27" s="25" t="n">
        <v>0.3</v>
      </c>
      <c r="F27" s="25" t="n">
        <v>0.3</v>
      </c>
      <c r="G27" s="8" t="inlineStr">
        <is>
          <t>用户手册、运维文档</t>
        </is>
      </c>
    </row>
    <row r="28">
      <c r="A28" s="17" t="n">
        <v>6</v>
      </c>
      <c r="B28" s="3" t="inlineStr">
        <is>
          <t>一年运行维护服务</t>
        </is>
      </c>
      <c r="E28" s="25" t="n">
        <v>3.5</v>
      </c>
      <c r="F28" s="25" t="n">
        <v>3</v>
      </c>
      <c r="G28" s="8" t="inlineStr">
        <is>
          <t>上线后一年维保</t>
        </is>
      </c>
    </row>
    <row r="29">
      <c r="A29" s="17" t="n">
        <v>7</v>
      </c>
      <c r="B29" s="3" t="inlineStr">
        <is>
          <t>安全配置与等保符合</t>
        </is>
      </c>
      <c r="E29" s="25" t="n">
        <v>0.3</v>
      </c>
      <c r="F29" s="25" t="n">
        <v>0.3</v>
      </c>
      <c r="G29" s="8" t="inlineStr">
        <is>
          <t>安全加固、合规配置</t>
        </is>
      </c>
    </row>
    <row r="30">
      <c r="A30" s="17" t="n">
        <v>8</v>
      </c>
      <c r="B30" s="3" t="inlineStr">
        <is>
          <t>数据备份与容灾</t>
        </is>
      </c>
      <c r="E30" s="25" t="n">
        <v>0.2</v>
      </c>
      <c r="F30" s="25" t="n">
        <v>0.2</v>
      </c>
      <c r="G30" s="8" t="inlineStr">
        <is>
          <t>定期备份、容灾</t>
        </is>
      </c>
    </row>
    <row r="31">
      <c r="A31" s="26" t="inlineStr">
        <is>
          <t>其他费用 小计</t>
        </is>
      </c>
      <c r="E31" s="30">
        <f>SUM(E23:E30)</f>
        <v/>
      </c>
      <c r="F31" s="30">
        <f>SUM(F23:F30)</f>
        <v/>
      </c>
      <c r="G31" s="29" t="inlineStr"/>
    </row>
    <row r="33">
      <c r="A33" s="26" t="inlineStr">
        <is>
          <t>合　计</t>
        </is>
      </c>
      <c r="E33" s="30">
        <f>E19+E31</f>
        <v/>
      </c>
      <c r="F33" s="30">
        <f>F19+F31</f>
        <v/>
      </c>
      <c r="G33" s="29" t="inlineStr"/>
    </row>
    <row r="35" ht="26" customHeight="1">
      <c r="A35" s="26" t="inlineStr">
        <is>
          <t>项目预计总成本</t>
        </is>
      </c>
      <c r="E35" s="10">
        <f>E33</f>
        <v/>
      </c>
      <c r="G35" s="32" t="inlineStr"/>
    </row>
    <row r="36" ht="26" customHeight="1">
      <c r="A36" s="33" t="inlineStr">
        <is>
          <t>财政申报金额（本次立项申请）</t>
        </is>
      </c>
      <c r="E36" s="12">
        <f>F33</f>
        <v/>
      </c>
      <c r="G36" s="34" t="inlineStr"/>
    </row>
    <row r="37" ht="26" customHeight="1">
      <c r="A37" s="35" t="inlineStr">
        <is>
          <t>差额：前期已自筹投入 / 街道自有经费承担</t>
        </is>
      </c>
      <c r="E37" s="36">
        <f>E33-F33</f>
        <v/>
      </c>
      <c r="G37" s="37" t="inlineStr"/>
    </row>
    <row r="39" ht="17" customHeight="1">
      <c r="A39" s="15" t="inlineStr">
        <is>
          <t>· 计价口径：项目为自主从零开发，预计总成本按 人月×单价 据实测算；财政申报金额压缩至 40 万元。</t>
        </is>
      </c>
    </row>
    <row r="40" ht="17" customHeight="1">
      <c r="A40" s="15" t="inlineStr">
        <is>
          <t>· 成本与申报差额部分，系前期已自筹完成核心功能原型开发的投入，不纳入本次财政重复申报。</t>
        </is>
      </c>
    </row>
    <row r="41" ht="17" customHeight="1">
      <c r="A41" s="15" t="inlineStr">
        <is>
          <t>· 大模型/语音识别等算力资源由政府侧统一承担，不计入本预算。</t>
        </is>
      </c>
    </row>
    <row r="42" ht="17" customHeight="1">
      <c r="A42" s="15" t="inlineStr">
        <is>
          <t>· 蓝色单元格为可调输入：各模块人月(C列)、人月单价(D3)、各项申报预算(F列)、其他费用成本/申报(E/F列)。</t>
        </is>
      </c>
    </row>
    <row r="43" ht="17" customHeight="1">
      <c r="A43" s="15" t="inlineStr">
        <is>
          <t>· 如需进一步压降申报金额，可下调 F 列各项申报预算后自动重算。</t>
        </is>
      </c>
    </row>
  </sheetData>
  <mergeCells count="28">
    <mergeCell ref="B23:D23"/>
    <mergeCell ref="B3:C3"/>
    <mergeCell ref="A35:D35"/>
    <mergeCell ref="A42:G42"/>
    <mergeCell ref="B29:D29"/>
    <mergeCell ref="A43:G43"/>
    <mergeCell ref="B28:D28"/>
    <mergeCell ref="E35:F35"/>
    <mergeCell ref="A31:D31"/>
    <mergeCell ref="A40:G40"/>
    <mergeCell ref="A39:G39"/>
    <mergeCell ref="B30:D30"/>
    <mergeCell ref="B24:D24"/>
    <mergeCell ref="A36:D36"/>
    <mergeCell ref="A1:G1"/>
    <mergeCell ref="B26:D26"/>
    <mergeCell ref="E36:F36"/>
    <mergeCell ref="E3:G3"/>
    <mergeCell ref="A41:G41"/>
    <mergeCell ref="B25:D25"/>
    <mergeCell ref="A37:D37"/>
    <mergeCell ref="A19:B19"/>
    <mergeCell ref="A21:G21"/>
    <mergeCell ref="B22:D22"/>
    <mergeCell ref="B27:D27"/>
    <mergeCell ref="E37:F37"/>
    <mergeCell ref="A33:D33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12" customWidth="1" min="4" max="4"/>
  </cols>
  <sheetData>
    <row r="1" ht="30" customHeight="1">
      <c r="A1" s="1" t="inlineStr">
        <is>
          <t>建设周期（预计）</t>
        </is>
      </c>
    </row>
    <row r="2">
      <c r="A2" s="16" t="inlineStr">
        <is>
          <t>序号</t>
        </is>
      </c>
      <c r="B2" s="16" t="inlineStr">
        <is>
          <t>阶段</t>
        </is>
      </c>
      <c r="C2" s="16" t="inlineStr">
        <is>
          <t>主要内容</t>
        </is>
      </c>
      <c r="D2" s="16" t="inlineStr">
        <is>
          <t>时长(月)</t>
        </is>
      </c>
    </row>
    <row r="3" ht="40" customHeight="1">
      <c r="A3" s="17" t="n">
        <v>1</v>
      </c>
      <c r="B3" s="17" t="inlineStr">
        <is>
          <t>项目准备</t>
        </is>
      </c>
      <c r="C3" s="3" t="inlineStr">
        <is>
          <t>需求确认、建设内容细化、资金落实与采购准备</t>
        </is>
      </c>
      <c r="D3" s="22" t="n">
        <v>0.5</v>
      </c>
    </row>
    <row r="4" ht="40" customHeight="1">
      <c r="A4" s="17" t="n">
        <v>2</v>
      </c>
      <c r="B4" s="17" t="inlineStr">
        <is>
          <t>设计开发</t>
        </is>
      </c>
      <c r="C4" s="3" t="inlineStr">
        <is>
          <t>系统设计、功能完善、印章模块新增、AI能力接入、可信档案馆接口开发</t>
        </is>
      </c>
      <c r="D4" s="22" t="n">
        <v>3</v>
      </c>
    </row>
    <row r="5" ht="40" customHeight="1">
      <c r="A5" s="17" t="n">
        <v>3</v>
      </c>
      <c r="B5" s="17" t="inlineStr">
        <is>
          <t>部署试用</t>
        </is>
      </c>
      <c r="C5" s="3" t="inlineStr">
        <is>
          <t>系统部署、基础资料初始化、用户培训、辖区推广试用与优化</t>
        </is>
      </c>
      <c r="D5" s="22" t="n">
        <v>2</v>
      </c>
    </row>
    <row r="6" ht="40" customHeight="1">
      <c r="A6" s="17" t="n">
        <v>4</v>
      </c>
      <c r="B6" s="17" t="inlineStr">
        <is>
          <t>验收</t>
        </is>
      </c>
      <c r="C6" s="3" t="inlineStr">
        <is>
          <t>软件测试、材料整理、问题整改与项目验收</t>
        </is>
      </c>
      <c r="D6" s="22" t="n">
        <v>1</v>
      </c>
    </row>
    <row r="7">
      <c r="A7" s="26" t="inlineStr">
        <is>
          <t>合计建设周期</t>
        </is>
      </c>
      <c r="D7" s="28">
        <f>SUM(D3:D6)</f>
        <v/>
      </c>
    </row>
  </sheetData>
  <mergeCells count="2">
    <mergeCell ref="A1:D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2026-07-20T06:21:34Z</dcterms:created>
  <dcterms:modified xmlns:dcterms="http://purl.org/dc/terms/" xmlns:xsi="http://www.w3.org/2001/XMLSchema-instance" xsi:type="dcterms:W3CDTF">2026-07-20T06:21:34Z</dcterms:modified>
</cp:coreProperties>
</file>