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功能与实现路径" sheetId="1" r:id="rId1"/>
    <sheet name="成本预算与周期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<sst xmlns="http://schemas.openxmlformats.org/spreadsheetml/2006/main" count="181" uniqueCount="135">
  <si>
    <t>临汾路街道业委会智能履职辅助项目</t>
  </si>
  <si>
    <t>项目摘要、功能清单与实现路径</t>
  </si>
  <si>
    <t>预计实施成本</t>
  </si>
  <si>
    <t>建议申报金额</t>
  </si>
  <si>
    <t>预计建设周期</t>
  </si>
  <si>
    <t>一、项目基本情况</t>
  </si>
  <si>
    <t>项目名称</t>
  </si>
  <si>
    <t>建设类型</t>
  </si>
  <si>
    <t>新建</t>
  </si>
  <si>
    <t>申报单位</t>
  </si>
  <si>
    <t>上海市静安区人民政府临汾路街道办事处</t>
  </si>
  <si>
    <t>建设范围</t>
  </si>
  <si>
    <t>全街道，实际业委会数量待核实</t>
  </si>
  <si>
    <t>现状与问题</t>
  </si>
  <si>
    <t>会议、接待、学习培训和相关履职资料主要依靠纸质材料、微信群及人工台账，存在期限提醒不足、纪要整理工作量大、佐证材料分散和年度汇总困难。</t>
  </si>
  <si>
    <t>建设目标</t>
  </si>
  <si>
    <t>形成覆盖业委会会议、业主接待、学习培训、材料公示留档、可信存证和提醒待办的统一工作入口，通过AI会议辅助和材料归集提高规范履职效率。</t>
  </si>
  <si>
    <t>建设特点</t>
  </si>
  <si>
    <t>聚焦业委会日常高频履职事项；会议内容坚持人工确认，会议材料形成公示与留档闭环，接待和培训形成可查询台账，整体操作轻量、易用、可追溯。</t>
  </si>
  <si>
    <t>二、功能清单与实现路径</t>
  </si>
  <si>
    <t>序号</t>
  </si>
  <si>
    <t>功能模块</t>
  </si>
  <si>
    <t>包含的主要功能</t>
  </si>
  <si>
    <t>功能实现路径</t>
  </si>
  <si>
    <t>形成的材料/结果</t>
  </si>
  <si>
    <t>备注</t>
  </si>
  <si>
    <t>业委会会议管理</t>
  </si>
  <si>
    <t>会议新建、议题及材料准备、通知送达、参会确认、居委会列席记录、签到、表决结果登记、纪要确认、公示和归档。</t>
  </si>
  <si>
    <t>主任或记录人员发起会议→填写时间地点、议题和参会范围→发送通知并记录送达→线下打印签到/表决签字表，线上由主任登记结果→形成纪要→人工确认后公示归档。</t>
  </si>
  <si>
    <t>会议通知、送达记录、参会及列席名单、签到表、表决结果、会议纪要、公示材料。</t>
  </si>
  <si>
    <t>不建设业主大会功能；系统不代替主任作出表决判断。</t>
  </si>
  <si>
    <t>AI会议助手</t>
  </si>
  <si>
    <t>上传会议录音、语音转写、按议题整理讨论内容、生成纪要初稿、提取决议事项和待办任务。</t>
  </si>
  <si>
    <t>上传录音→调用政府统一提供的大模型及语音能力→生成转写文本和纪要草稿→主任或授权人员校正、审核→确认后进入正式会议纪要和归档流程。</t>
  </si>
  <si>
    <t>原始录音、转写文本、纪要草稿、决议及待办清单、人工确认记录。</t>
  </si>
  <si>
    <t>模型资源及调用消耗由政府承担，不计入项目预算。</t>
  </si>
  <si>
    <t>业主接待管理</t>
  </si>
  <si>
    <t>维护接待制度和安排；登记来访事项、诉求内容、附件、处理过程、物业沟通、业主反馈及办结状态。</t>
  </si>
  <si>
    <t>公布接待安排→接待时建立事项记录→持续补充沟通和处理情况→涉及物业的问题记录物业回复→向业主反馈结果→办结并纳入年度统计。</t>
  </si>
  <si>
    <t>接待制度、接待台账、物业沟通记录、反馈材料、年度接待统计。</t>
  </si>
  <si>
    <t>用于形成接待工作过程留痕和评价佐证。</t>
  </si>
  <si>
    <t>学习培训管理</t>
  </si>
  <si>
    <t>登记街道培训、内部学习和专项培训；记录主题、时间、组织单位、参训人员、重点岗位及培训材料。</t>
  </si>
  <si>
    <t>新建培训或学习记录→选择培训类型→登记参训人员→上传签到表、照片和课件→统计年度学习次数及主任、副主任、印章保管委员参训情况。</t>
  </si>
  <si>
    <t>培训记录、参训名单、签到表、照片、课件、年度学习统计。</t>
  </si>
  <si>
    <t>满足学习培训相关评价材料整理需要。</t>
  </si>
  <si>
    <t>会议材料公示与留档</t>
  </si>
  <si>
    <t>归集会议通知、议题材料、签到表、表决结果、会议纪要和公示文件；记录人工确认、公示时间和留档状态，支持查询和下载。</t>
  </si>
  <si>
    <t>会议办理完成→系统汇总本次会议材料→主任或授权人员核对纪要和公示内容→登记公示时间并上传正式文件→按业委会、届次和年度形成会议材料目录。</t>
  </si>
  <si>
    <t>会议材料目录、正式纪要、公示文件、签到及表决材料、确认和留档记录。</t>
  </si>
  <si>
    <t>只聚焦会议材料，不建设覆盖所有业务的综合履职档案平台。</t>
  </si>
  <si>
    <t>可信档案馆对接</t>
  </si>
  <si>
    <t>将人工确认后的正式会议纪要、公示等文件推送至公司现有可信档案馆，并保存存证结果。</t>
  </si>
  <si>
    <t>正式材料审核确认→调用现有可信档案馆接口→返回存证编号、时间和回执→系统保存回执并支持验真查询；失败时允许重新推送。</t>
  </si>
  <si>
    <t>存证编号、时间戳、存证回执、验真结果和推送日志。</t>
  </si>
  <si>
    <t>属于公司已有产品的轻量接口配置，不另行采购平台。</t>
  </si>
  <si>
    <t>提醒与待办</t>
  </si>
  <si>
    <t>提供会议通知时限、公示时限、年度会议次数、接待次数、学习次数、重点人员参训和材料缺失等提醒。</t>
  </si>
  <si>
    <t>将评价标准转换为可配置规则→系统根据业务日期和完成状态生成待办→临期或逾期时提醒相关人员→处理完成后自动关闭待办并保留记录。</t>
  </si>
  <si>
    <t>个人待办、临期提醒、逾期提示、材料缺失提示、处理记录。</t>
  </si>
  <si>
    <t>具体提醒参数可在需求确认阶段由街道最终确定。</t>
  </si>
  <si>
    <t>临汾路街道业委会智能履职辅助项目——成本、申报预算与预计周期</t>
  </si>
  <si>
    <t>一、成本及申报预算（单位：万元）</t>
  </si>
  <si>
    <t>费用分类</t>
  </si>
  <si>
    <t>测算依据</t>
  </si>
  <si>
    <t>预计成本</t>
  </si>
  <si>
    <t>申报预算</t>
  </si>
  <si>
    <t>差额</t>
  </si>
  <si>
    <t>申报占比</t>
  </si>
  <si>
    <t>说明</t>
  </si>
  <si>
    <t>平台公共能力</t>
  </si>
  <si>
    <t>复用组织、权限、附件和消息等公共组件</t>
  </si>
  <si>
    <t>充分复用现有公共组件，仅计配置、适配和必要改造成本。</t>
  </si>
  <si>
    <t>业务功能开发</t>
  </si>
  <si>
    <t>覆盖7项业务功能；组织用户、权限、附件和基础消息作为公共支撑一并建设。</t>
  </si>
  <si>
    <t>安全合规建设</t>
  </si>
  <si>
    <t>身份认证、传输保护、日志和密评整改配合</t>
  </si>
  <si>
    <t>复用既有安全能力，保留必要配置和密评整改配合。</t>
  </si>
  <si>
    <t>实施与培训</t>
  </si>
  <si>
    <t>部署、基础数据初始化、试点上线、手册和培训</t>
  </si>
  <si>
    <t>以集中部署、一次集中培训和远程支持为主，并保留试点上线投入。</t>
  </si>
  <si>
    <t>第三方测评</t>
  </si>
  <si>
    <t>第三方软件测试2万元＋密评暂估0.5万元</t>
  </si>
  <si>
    <t>密评成本暂按0.5万元估算，最终以采购或合同价格为准。</t>
  </si>
  <si>
    <t>一年运维服务</t>
  </si>
  <si>
    <t>故障处理、安全修复、备份检查和小版本升级</t>
  </si>
  <si>
    <t>覆盖一年基础运行保障，复杂新增需求不计入免费运维。</t>
  </si>
  <si>
    <t>政府承担/不计列</t>
  </si>
  <si>
    <t>大模型资源、专用硬件和可信档案馆平台采购</t>
  </si>
  <si>
    <t>模型消耗由政府承担；不购置专用硬件和可信档案馆平台。</t>
  </si>
  <si>
    <t>合计</t>
  </si>
  <si>
    <t>成本与申报预算差额包含项目管理、税费、间接成本、交付验收风险、质保服务和合理利润。</t>
  </si>
  <si>
    <t>二、预计建设周期：6个月</t>
  </si>
  <si>
    <t>阶段</t>
  </si>
  <si>
    <t>时间安排</t>
  </si>
  <si>
    <t>主要工作</t>
  </si>
  <si>
    <t>主要交付物</t>
  </si>
  <si>
    <t>实施方式</t>
  </si>
  <si>
    <t>阶段成果</t>
  </si>
  <si>
    <t>需求与设计</t>
  </si>
  <si>
    <t>第1个月</t>
  </si>
  <si>
    <t>确认范围、评价标准映射、业务流程、表单字段、权限和原型。</t>
  </si>
  <si>
    <t>需求清单、标准映射表、原型确认稿、详细设计。</t>
  </si>
  <si>
    <t>需求确认与基础设计并行推进。</t>
  </si>
  <si>
    <t>形成可开发、可验收的范围基线。</t>
  </si>
  <si>
    <t>采购准备可同步开展。</t>
  </si>
  <si>
    <t>开发与联调</t>
  </si>
  <si>
    <t>第2—3个月</t>
  </si>
  <si>
    <t>完成功能开发、公共能力配置、AI能力接入、可信档案馆对接和密码应用建设。</t>
  </si>
  <si>
    <t>阶段版本、接口联调记录、数据字典。</t>
  </si>
  <si>
    <t>按模块分批开发、分批确认。</t>
  </si>
  <si>
    <t>形成可部署试用版本。</t>
  </si>
  <si>
    <t>大模型资源由政府提供。</t>
  </si>
  <si>
    <t>部署与试点</t>
  </si>
  <si>
    <t>第4个月</t>
  </si>
  <si>
    <t>完成环境部署、基础数据初始化、管理员培训和部分业委会试点。</t>
  </si>
  <si>
    <t>部署记录、初始化清单、操作手册、培训记录、试点报告。</t>
  </si>
  <si>
    <t>选取部分业委会先行试用。</t>
  </si>
  <si>
    <t>验证真实业务流程和使用便利性。</t>
  </si>
  <si>
    <t>试点问题集中登记。</t>
  </si>
  <si>
    <t>优化与推广</t>
  </si>
  <si>
    <t>第5个月</t>
  </si>
  <si>
    <t>根据试点反馈优化表单、规则、提醒和操作流程，并逐步推广。</t>
  </si>
  <si>
    <t>优化版本、推广记录、问题闭环清单。</t>
  </si>
  <si>
    <t>边优化边推广。</t>
  </si>
  <si>
    <t>达到全街道推广使用条件。</t>
  </si>
  <si>
    <t>实际业委会数量待核实。</t>
  </si>
  <si>
    <t>测评与验收</t>
  </si>
  <si>
    <t>第6个月</t>
  </si>
  <si>
    <t>开展第三方软件测试、密评、问题整改、资料整理和项目验收。</t>
  </si>
  <si>
    <t>测试报告、密评报告、整改记录、验收材料。</t>
  </si>
  <si>
    <t>测评准备与前期开发试点适度并行。</t>
  </si>
  <si>
    <t>完成项目验收并转入一年运维。</t>
  </si>
  <si>
    <t>周期以合同生效或项目启动为起点。</t>
  </si>
  <si>
    <t>三、申报建议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</si>
</sst>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&quot; 万元&quot;"/>
    <numFmt numFmtId="178" formatCode="0.0&quot; 个月&quot;"/>
  </numFmts>
  <fonts count="29">
    <font>
      <sz val="11"/>
      <name val="Carlito"/>
      <charset val="134"/>
    </font>
    <font>
      <b/>
      <sz val="16"/>
      <color rgb="FFFFFFFF"/>
      <name val="Microsoft YaHei"/>
      <charset val="134"/>
    </font>
    <font>
      <b/>
      <sz val="11"/>
      <color rgb="FF203040"/>
      <name val="Microsoft YaHei"/>
      <charset val="134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b/>
      <sz val="12"/>
      <color rgb="FF375623"/>
      <name val="Microsoft YaHei"/>
      <charset val="134"/>
    </font>
    <font>
      <b/>
      <sz val="11"/>
      <color rgb="FF1F4E78"/>
      <name val="Microsoft YaHei"/>
      <charset val="134"/>
    </font>
    <font>
      <b/>
      <sz val="15"/>
      <color rgb="FF1F4E78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6FB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/>
      <top style="medium">
        <color rgb="FF70AD47"/>
      </top>
      <bottom/>
      <diagonal/>
    </border>
    <border>
      <left/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/>
      <right/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center" wrapText="1"/>
    </xf>
    <xf numFmtId="2" fontId="4" fillId="0" borderId="1" xfId="49" applyNumberFormat="1" applyFont="1" applyFill="1" applyBorder="1" applyAlignment="1">
      <alignment vertical="center" wrapText="1"/>
    </xf>
    <xf numFmtId="176" fontId="4" fillId="0" borderId="1" xfId="49" applyNumberFormat="1" applyFont="1" applyFill="1" applyBorder="1" applyAlignment="1">
      <alignment vertical="center" wrapText="1"/>
    </xf>
    <xf numFmtId="0" fontId="3" fillId="2" borderId="1" xfId="49" applyNumberFormat="1" applyFont="1" applyFill="1" applyBorder="1" applyAlignment="1">
      <alignment vertical="center" wrapText="1"/>
    </xf>
    <xf numFmtId="2" fontId="3" fillId="2" borderId="1" xfId="49" applyNumberFormat="1" applyFont="1" applyFill="1" applyBorder="1" applyAlignment="1">
      <alignment vertical="center" wrapText="1"/>
    </xf>
    <xf numFmtId="176" fontId="3" fillId="2" borderId="1" xfId="49" applyNumberFormat="1" applyFont="1" applyFill="1" applyBorder="1" applyAlignment="1">
      <alignment vertical="center" wrapText="1"/>
    </xf>
    <xf numFmtId="0" fontId="5" fillId="4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6" fillId="5" borderId="2" xfId="49" applyNumberFormat="1" applyFont="1" applyFill="1" applyBorder="1" applyAlignment="1">
      <alignment horizontal="center" vertical="center" wrapText="1"/>
    </xf>
    <xf numFmtId="0" fontId="6" fillId="5" borderId="3" xfId="49" applyNumberFormat="1" applyFont="1" applyFill="1" applyBorder="1" applyAlignment="1">
      <alignment horizontal="center" vertical="center" wrapText="1"/>
    </xf>
    <xf numFmtId="0" fontId="6" fillId="5" borderId="4" xfId="49" applyNumberFormat="1" applyFont="1" applyFill="1" applyBorder="1" applyAlignment="1">
      <alignment horizontal="center" vertical="center" wrapText="1"/>
    </xf>
    <xf numFmtId="0" fontId="6" fillId="5" borderId="5" xfId="49" applyNumberFormat="1" applyFont="1" applyFill="1" applyBorder="1" applyAlignment="1">
      <alignment horizontal="center" vertical="center" wrapText="1"/>
    </xf>
    <xf numFmtId="0" fontId="6" fillId="5" borderId="6" xfId="49" applyNumberFormat="1" applyFont="1" applyFill="1" applyBorder="1" applyAlignment="1">
      <alignment horizontal="center" vertical="center" wrapText="1"/>
    </xf>
    <xf numFmtId="0" fontId="6" fillId="5" borderId="7" xfId="49" applyNumberFormat="1" applyFont="1" applyFill="1" applyBorder="1" applyAlignment="1">
      <alignment horizontal="center" vertical="center" wrapText="1"/>
    </xf>
    <xf numFmtId="0" fontId="7" fillId="4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horizontal="center" vertical="center"/>
    </xf>
    <xf numFmtId="177" fontId="8" fillId="4" borderId="1" xfId="49" applyNumberFormat="1" applyFont="1" applyFill="1" applyBorder="1" applyAlignment="1">
      <alignment horizontal="center" vertical="center"/>
    </xf>
    <xf numFmtId="177" fontId="8" fillId="5" borderId="1" xfId="49" applyNumberFormat="1" applyFont="1" applyFill="1" applyBorder="1" applyAlignment="1">
      <alignment horizontal="center" vertical="center"/>
    </xf>
    <xf numFmtId="178" fontId="8" fillId="6" borderId="1" xfId="49" applyNumberFormat="1" applyFont="1" applyFill="1" applyBorder="1" applyAlignment="1">
      <alignment horizontal="center" vertical="center"/>
    </xf>
    <xf numFmtId="0" fontId="5" fillId="7" borderId="1" xfId="49" applyNumberFormat="1" applyFont="1" applyFill="1" applyBorder="1" applyAlignment="1">
      <alignment vertical="center" wrapText="1"/>
    </xf>
    <xf numFmtId="0" fontId="2" fillId="4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GridLines="0" workbookViewId="0">
      <selection activeCell="E20" sqref="E20"/>
    </sheetView>
  </sheetViews>
  <sheetFormatPr defaultColWidth="9" defaultRowHeight="14" outlineLevelCol="5"/>
  <cols>
    <col min="1" max="1" width="7" customWidth="1"/>
    <col min="2" max="2" width="19" customWidth="1"/>
    <col min="3" max="3" width="42" customWidth="1"/>
    <col min="4" max="4" width="52" customWidth="1"/>
    <col min="5" max="5" width="35" customWidth="1"/>
    <col min="6" max="6" width="29" customWidth="1"/>
  </cols>
  <sheetData>
    <row r="1" ht="34" customHeight="1" spans="1:6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ht="16.5" spans="1:6">
      <c r="A2" s="18" t="s">
        <v>1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</row>
    <row r="4" ht="16.5" spans="1:6">
      <c r="A4" s="19" t="s">
        <v>2</v>
      </c>
      <c r="B4" s="19"/>
      <c r="C4" s="19" t="s">
        <v>3</v>
      </c>
      <c r="D4" s="19"/>
      <c r="E4" s="19" t="s">
        <v>4</v>
      </c>
      <c r="F4" s="19"/>
    </row>
    <row r="5" spans="1:6">
      <c r="A5" s="20">
        <f>成本预算与周期!C12</f>
        <v>22.2</v>
      </c>
      <c r="B5" s="20"/>
      <c r="C5" s="21">
        <f>成本预算与周期!D12</f>
        <v>42.5</v>
      </c>
      <c r="D5" s="21"/>
      <c r="E5" s="22">
        <v>6</v>
      </c>
      <c r="F5" s="22"/>
    </row>
    <row r="6" spans="1:6">
      <c r="A6" s="20"/>
      <c r="B6" s="20"/>
      <c r="C6" s="21"/>
      <c r="D6" s="21"/>
      <c r="E6" s="22"/>
      <c r="F6" s="22"/>
    </row>
    <row r="8" ht="24" customHeight="1" spans="1:6">
      <c r="A8" s="2" t="s">
        <v>5</v>
      </c>
      <c r="B8" s="2" t="s">
        <v>5</v>
      </c>
      <c r="C8" s="2" t="s">
        <v>5</v>
      </c>
      <c r="D8" s="2" t="s">
        <v>5</v>
      </c>
      <c r="E8" s="2" t="s">
        <v>5</v>
      </c>
      <c r="F8" s="2" t="s">
        <v>5</v>
      </c>
    </row>
    <row r="9" ht="33" spans="1:6">
      <c r="A9" s="23" t="s">
        <v>6</v>
      </c>
      <c r="B9" s="4" t="s">
        <v>0</v>
      </c>
      <c r="C9" s="4"/>
      <c r="D9" s="23" t="s">
        <v>7</v>
      </c>
      <c r="E9" s="4" t="s">
        <v>8</v>
      </c>
      <c r="F9" s="4"/>
    </row>
    <row r="10" ht="33" spans="1:6">
      <c r="A10" s="23" t="s">
        <v>9</v>
      </c>
      <c r="B10" s="4" t="s">
        <v>10</v>
      </c>
      <c r="C10" s="4"/>
      <c r="D10" s="23" t="s">
        <v>11</v>
      </c>
      <c r="E10" s="4" t="s">
        <v>12</v>
      </c>
      <c r="F10" s="4"/>
    </row>
    <row r="11" ht="45" customHeight="1" spans="1:6">
      <c r="A11" s="23" t="s">
        <v>13</v>
      </c>
      <c r="B11" s="4" t="s">
        <v>14</v>
      </c>
      <c r="C11" s="4"/>
      <c r="D11" s="4"/>
      <c r="E11" s="4"/>
      <c r="F11" s="4"/>
    </row>
    <row r="12" ht="45" customHeight="1" spans="1:6">
      <c r="A12" s="23" t="s">
        <v>15</v>
      </c>
      <c r="B12" s="4" t="s">
        <v>16</v>
      </c>
      <c r="C12" s="4"/>
      <c r="D12" s="4"/>
      <c r="E12" s="4"/>
      <c r="F12" s="4"/>
    </row>
    <row r="13" ht="45" customHeight="1" spans="1:6">
      <c r="A13" s="23" t="s">
        <v>17</v>
      </c>
      <c r="B13" s="4" t="s">
        <v>18</v>
      </c>
      <c r="C13" s="4"/>
      <c r="D13" s="4"/>
      <c r="E13" s="4"/>
      <c r="F13" s="4"/>
    </row>
    <row r="15" ht="24" customHeight="1" spans="1:6">
      <c r="A15" s="2" t="s">
        <v>19</v>
      </c>
      <c r="B15" s="2" t="s">
        <v>19</v>
      </c>
      <c r="C15" s="2" t="s">
        <v>19</v>
      </c>
      <c r="D15" s="2" t="s">
        <v>19</v>
      </c>
      <c r="E15" s="2" t="s">
        <v>19</v>
      </c>
      <c r="F15" s="2" t="s">
        <v>19</v>
      </c>
    </row>
    <row r="16" ht="16.5" spans="1:6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  <c r="F16" s="3" t="s">
        <v>25</v>
      </c>
    </row>
    <row r="17" ht="76" customHeight="1" spans="1:6">
      <c r="A17" s="11">
        <v>1</v>
      </c>
      <c r="B17" s="24" t="s">
        <v>26</v>
      </c>
      <c r="C17" s="4" t="s">
        <v>27</v>
      </c>
      <c r="D17" s="4" t="s">
        <v>28</v>
      </c>
      <c r="E17" s="4" t="s">
        <v>29</v>
      </c>
      <c r="F17" s="4" t="s">
        <v>30</v>
      </c>
    </row>
    <row r="18" ht="76" customHeight="1" spans="1:6">
      <c r="A18" s="11">
        <v>2</v>
      </c>
      <c r="B18" s="24" t="s">
        <v>31</v>
      </c>
      <c r="C18" s="4" t="s">
        <v>32</v>
      </c>
      <c r="D18" s="4" t="s">
        <v>33</v>
      </c>
      <c r="E18" s="4" t="s">
        <v>34</v>
      </c>
      <c r="F18" s="4" t="s">
        <v>35</v>
      </c>
    </row>
    <row r="19" ht="76" customHeight="1" spans="1:6">
      <c r="A19" s="11">
        <v>3</v>
      </c>
      <c r="B19" s="24" t="s">
        <v>36</v>
      </c>
      <c r="C19" s="4" t="s">
        <v>37</v>
      </c>
      <c r="D19" s="4" t="s">
        <v>38</v>
      </c>
      <c r="E19" s="4" t="s">
        <v>39</v>
      </c>
      <c r="F19" s="4" t="s">
        <v>40</v>
      </c>
    </row>
    <row r="20" ht="76" customHeight="1" spans="1:6">
      <c r="A20" s="11">
        <v>4</v>
      </c>
      <c r="B20" s="24" t="s">
        <v>41</v>
      </c>
      <c r="C20" s="4" t="s">
        <v>42</v>
      </c>
      <c r="D20" s="4" t="s">
        <v>43</v>
      </c>
      <c r="E20" s="4" t="s">
        <v>44</v>
      </c>
      <c r="F20" s="4" t="s">
        <v>45</v>
      </c>
    </row>
    <row r="21" ht="76" customHeight="1" spans="1:6">
      <c r="A21" s="11">
        <v>5</v>
      </c>
      <c r="B21" s="24" t="s">
        <v>46</v>
      </c>
      <c r="C21" s="4" t="s">
        <v>47</v>
      </c>
      <c r="D21" s="4" t="s">
        <v>48</v>
      </c>
      <c r="E21" s="4" t="s">
        <v>49</v>
      </c>
      <c r="F21" s="4" t="s">
        <v>50</v>
      </c>
    </row>
    <row r="22" ht="76" customHeight="1" spans="1:6">
      <c r="A22" s="11">
        <v>6</v>
      </c>
      <c r="B22" s="24" t="s">
        <v>51</v>
      </c>
      <c r="C22" s="4" t="s">
        <v>52</v>
      </c>
      <c r="D22" s="4" t="s">
        <v>53</v>
      </c>
      <c r="E22" s="4" t="s">
        <v>54</v>
      </c>
      <c r="F22" s="4" t="s">
        <v>55</v>
      </c>
    </row>
    <row r="23" ht="76" customHeight="1" spans="1:6">
      <c r="A23" s="11">
        <v>7</v>
      </c>
      <c r="B23" s="24" t="s">
        <v>56</v>
      </c>
      <c r="C23" s="4" t="s">
        <v>57</v>
      </c>
      <c r="D23" s="4" t="s">
        <v>58</v>
      </c>
      <c r="E23" s="4" t="s">
        <v>59</v>
      </c>
      <c r="F23" s="4" t="s">
        <v>60</v>
      </c>
    </row>
  </sheetData>
  <mergeCells count="17">
    <mergeCell ref="A1:F1"/>
    <mergeCell ref="A2:F2"/>
    <mergeCell ref="A4:B4"/>
    <mergeCell ref="C4:D4"/>
    <mergeCell ref="E4:F4"/>
    <mergeCell ref="A8:F8"/>
    <mergeCell ref="B9:C9"/>
    <mergeCell ref="E9:F9"/>
    <mergeCell ref="B10:C10"/>
    <mergeCell ref="E10:F10"/>
    <mergeCell ref="B11:F11"/>
    <mergeCell ref="B12:F12"/>
    <mergeCell ref="B13:F13"/>
    <mergeCell ref="A15:F15"/>
    <mergeCell ref="A5:B6"/>
    <mergeCell ref="C5:D6"/>
    <mergeCell ref="E5:F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showGridLines="0" tabSelected="1" workbookViewId="0">
      <selection activeCell="D8" sqref="D7:D8"/>
    </sheetView>
  </sheetViews>
  <sheetFormatPr defaultColWidth="9" defaultRowHeight="14" outlineLevelCol="6"/>
  <cols>
    <col min="1" max="1" width="19" customWidth="1"/>
    <col min="2" max="2" width="32" customWidth="1"/>
    <col min="3" max="6" width="14" customWidth="1"/>
    <col min="7" max="7" width="36" customWidth="1"/>
  </cols>
  <sheetData>
    <row r="1" ht="34" customHeight="1" spans="1:7">
      <c r="A1" s="1" t="s">
        <v>61</v>
      </c>
      <c r="B1" s="1" t="s">
        <v>61</v>
      </c>
      <c r="C1" s="1" t="s">
        <v>61</v>
      </c>
      <c r="D1" s="1" t="s">
        <v>61</v>
      </c>
      <c r="E1" s="1" t="s">
        <v>61</v>
      </c>
      <c r="F1" s="1" t="s">
        <v>61</v>
      </c>
      <c r="G1" s="1" t="s">
        <v>61</v>
      </c>
    </row>
    <row r="3" ht="24" customHeight="1" spans="1:7">
      <c r="A3" s="2" t="s">
        <v>62</v>
      </c>
      <c r="B3" s="2" t="s">
        <v>62</v>
      </c>
      <c r="C3" s="2" t="s">
        <v>62</v>
      </c>
      <c r="D3" s="2" t="s">
        <v>62</v>
      </c>
      <c r="E3" s="2" t="s">
        <v>62</v>
      </c>
      <c r="F3" s="2" t="s">
        <v>62</v>
      </c>
      <c r="G3" s="2" t="s">
        <v>62</v>
      </c>
    </row>
    <row r="4" ht="16.5" spans="1:7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</row>
    <row r="5" ht="43" customHeight="1" spans="1:7">
      <c r="A5" s="4" t="s">
        <v>70</v>
      </c>
      <c r="B5" s="4" t="s">
        <v>71</v>
      </c>
      <c r="C5" s="5">
        <v>2</v>
      </c>
      <c r="D5" s="5">
        <v>5</v>
      </c>
      <c r="E5" s="5">
        <f t="shared" ref="E5:E11" si="0">D5-C5</f>
        <v>3</v>
      </c>
      <c r="F5" s="6">
        <f t="shared" ref="F5:F11" si="1">D5/$D$12</f>
        <v>0.117647058823529</v>
      </c>
      <c r="G5" s="4" t="s">
        <v>72</v>
      </c>
    </row>
    <row r="6" ht="43" customHeight="1" spans="1:7">
      <c r="A6" s="4" t="s">
        <v>73</v>
      </c>
      <c r="B6" s="4"/>
      <c r="C6" s="5">
        <v>13.5</v>
      </c>
      <c r="D6" s="5">
        <v>22.5</v>
      </c>
      <c r="E6" s="5">
        <f t="shared" si="0"/>
        <v>9</v>
      </c>
      <c r="F6" s="6">
        <f t="shared" si="1"/>
        <v>0.529411764705882</v>
      </c>
      <c r="G6" s="4" t="s">
        <v>74</v>
      </c>
    </row>
    <row r="7" ht="43" customHeight="1" spans="1:7">
      <c r="A7" s="4" t="s">
        <v>75</v>
      </c>
      <c r="B7" s="4" t="s">
        <v>76</v>
      </c>
      <c r="C7" s="5">
        <v>1</v>
      </c>
      <c r="D7" s="5">
        <v>2</v>
      </c>
      <c r="E7" s="5">
        <f t="shared" si="0"/>
        <v>1</v>
      </c>
      <c r="F7" s="6">
        <f t="shared" si="1"/>
        <v>0.0470588235294118</v>
      </c>
      <c r="G7" s="4" t="s">
        <v>77</v>
      </c>
    </row>
    <row r="8" ht="43" customHeight="1" spans="1:7">
      <c r="A8" s="4" t="s">
        <v>78</v>
      </c>
      <c r="B8" s="4" t="s">
        <v>79</v>
      </c>
      <c r="C8" s="5">
        <v>1.2</v>
      </c>
      <c r="D8" s="5">
        <v>3</v>
      </c>
      <c r="E8" s="5">
        <f t="shared" si="0"/>
        <v>1.8</v>
      </c>
      <c r="F8" s="6">
        <f t="shared" si="1"/>
        <v>0.0705882352941176</v>
      </c>
      <c r="G8" s="4" t="s">
        <v>80</v>
      </c>
    </row>
    <row r="9" ht="43" customHeight="1" spans="1:7">
      <c r="A9" s="4" t="s">
        <v>81</v>
      </c>
      <c r="B9" s="4" t="s">
        <v>82</v>
      </c>
      <c r="C9" s="5">
        <v>2.5</v>
      </c>
      <c r="D9" s="5">
        <v>5</v>
      </c>
      <c r="E9" s="5">
        <f t="shared" si="0"/>
        <v>2.5</v>
      </c>
      <c r="F9" s="6">
        <f t="shared" si="1"/>
        <v>0.117647058823529</v>
      </c>
      <c r="G9" s="4" t="s">
        <v>83</v>
      </c>
    </row>
    <row r="10" ht="43" customHeight="1" spans="1:7">
      <c r="A10" s="4" t="s">
        <v>84</v>
      </c>
      <c r="B10" s="4" t="s">
        <v>85</v>
      </c>
      <c r="C10" s="5">
        <v>2</v>
      </c>
      <c r="D10" s="5">
        <v>5</v>
      </c>
      <c r="E10" s="5">
        <f t="shared" si="0"/>
        <v>3</v>
      </c>
      <c r="F10" s="6">
        <f t="shared" si="1"/>
        <v>0.117647058823529</v>
      </c>
      <c r="G10" s="4" t="s">
        <v>86</v>
      </c>
    </row>
    <row r="11" ht="43" customHeight="1" spans="1:7">
      <c r="A11" s="4" t="s">
        <v>87</v>
      </c>
      <c r="B11" s="4" t="s">
        <v>88</v>
      </c>
      <c r="C11" s="5">
        <v>0</v>
      </c>
      <c r="D11" s="5">
        <v>0</v>
      </c>
      <c r="E11" s="5">
        <f t="shared" si="0"/>
        <v>0</v>
      </c>
      <c r="F11" s="6">
        <f t="shared" si="1"/>
        <v>0</v>
      </c>
      <c r="G11" s="4" t="s">
        <v>89</v>
      </c>
    </row>
    <row r="12" ht="48" customHeight="1" spans="1:7">
      <c r="A12" s="7" t="s">
        <v>90</v>
      </c>
      <c r="B12" s="7"/>
      <c r="C12" s="8">
        <f>SUM(C5:C11)</f>
        <v>22.2</v>
      </c>
      <c r="D12" s="8">
        <f>SUM(D5:D11)</f>
        <v>42.5</v>
      </c>
      <c r="E12" s="8">
        <f>SUM(E5:E11)</f>
        <v>20.3</v>
      </c>
      <c r="F12" s="9">
        <f>SUM(F5:F11)</f>
        <v>1</v>
      </c>
      <c r="G12" s="7" t="s">
        <v>91</v>
      </c>
    </row>
    <row r="14" ht="24" customHeight="1" spans="1:7">
      <c r="A14" s="2" t="s">
        <v>92</v>
      </c>
      <c r="B14" s="2" t="s">
        <v>92</v>
      </c>
      <c r="C14" s="2" t="s">
        <v>92</v>
      </c>
      <c r="D14" s="2" t="s">
        <v>92</v>
      </c>
      <c r="E14" s="2" t="s">
        <v>92</v>
      </c>
      <c r="F14" s="2" t="s">
        <v>92</v>
      </c>
      <c r="G14" s="2" t="s">
        <v>92</v>
      </c>
    </row>
    <row r="15" ht="16.5" spans="1:7">
      <c r="A15" s="3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25</v>
      </c>
    </row>
    <row r="16" ht="62" customHeight="1" spans="1:7">
      <c r="A16" s="10" t="s">
        <v>99</v>
      </c>
      <c r="B16" s="11" t="s">
        <v>100</v>
      </c>
      <c r="C16" s="4" t="s">
        <v>101</v>
      </c>
      <c r="D16" s="4" t="s">
        <v>102</v>
      </c>
      <c r="E16" s="4" t="s">
        <v>103</v>
      </c>
      <c r="F16" s="4" t="s">
        <v>104</v>
      </c>
      <c r="G16" s="4" t="s">
        <v>105</v>
      </c>
    </row>
    <row r="17" ht="62" customHeight="1" spans="1:7">
      <c r="A17" s="10" t="s">
        <v>106</v>
      </c>
      <c r="B17" s="11" t="s">
        <v>107</v>
      </c>
      <c r="C17" s="4" t="s">
        <v>108</v>
      </c>
      <c r="D17" s="4" t="s">
        <v>109</v>
      </c>
      <c r="E17" s="4" t="s">
        <v>110</v>
      </c>
      <c r="F17" s="4" t="s">
        <v>111</v>
      </c>
      <c r="G17" s="4" t="s">
        <v>112</v>
      </c>
    </row>
    <row r="18" ht="62" customHeight="1" spans="1:7">
      <c r="A18" s="10" t="s">
        <v>113</v>
      </c>
      <c r="B18" s="11" t="s">
        <v>114</v>
      </c>
      <c r="C18" s="4" t="s">
        <v>115</v>
      </c>
      <c r="D18" s="4" t="s">
        <v>116</v>
      </c>
      <c r="E18" s="4" t="s">
        <v>117</v>
      </c>
      <c r="F18" s="4" t="s">
        <v>118</v>
      </c>
      <c r="G18" s="4" t="s">
        <v>119</v>
      </c>
    </row>
    <row r="19" ht="62" customHeight="1" spans="1:7">
      <c r="A19" s="10" t="s">
        <v>120</v>
      </c>
      <c r="B19" s="11" t="s">
        <v>121</v>
      </c>
      <c r="C19" s="4" t="s">
        <v>122</v>
      </c>
      <c r="D19" s="4" t="s">
        <v>123</v>
      </c>
      <c r="E19" s="4" t="s">
        <v>124</v>
      </c>
      <c r="F19" s="4" t="s">
        <v>125</v>
      </c>
      <c r="G19" s="4" t="s">
        <v>126</v>
      </c>
    </row>
    <row r="20" ht="62" customHeight="1" spans="1:7">
      <c r="A20" s="10" t="s">
        <v>127</v>
      </c>
      <c r="B20" s="11" t="s">
        <v>128</v>
      </c>
      <c r="C20" s="4" t="s">
        <v>129</v>
      </c>
      <c r="D20" s="4" t="s">
        <v>130</v>
      </c>
      <c r="E20" s="4" t="s">
        <v>131</v>
      </c>
      <c r="F20" s="4" t="s">
        <v>132</v>
      </c>
      <c r="G20" s="4" t="s">
        <v>133</v>
      </c>
    </row>
    <row r="22" ht="24" customHeight="1" spans="1:7">
      <c r="A22" s="2" t="s">
        <v>134</v>
      </c>
      <c r="B22" s="2" t="s">
        <v>134</v>
      </c>
      <c r="C22" s="2" t="s">
        <v>134</v>
      </c>
      <c r="D22" s="2" t="s">
        <v>134</v>
      </c>
      <c r="E22" s="2" t="s">
        <v>134</v>
      </c>
      <c r="F22" s="2" t="s">
        <v>134</v>
      </c>
      <c r="G22" s="2" t="s">
        <v>134</v>
      </c>
    </row>
    <row r="23" spans="1:7">
      <c r="A23" s="12" t="str">
        <f>"预计实施成本约"&amp;TEXT(C12,"0.00")&amp;"万元，建议申报金额"&amp;TEXT(D12,"0.00")&amp;"万元，预计建设周期6个月。内部人工按9人月、1.5万元/人月测算；大模型资源及调用消耗由政府承担，不计入本项目申报预算。"</f>
        <v>预计实施成本约22.20万元，建议申报金额42.50万元，预计建设周期6个月。内部人工按9人月、1.5万元/人月测算；大模型资源及调用消耗由政府承担，不计入本项目申报预算。</v>
      </c>
      <c r="B23" s="13"/>
      <c r="C23" s="13"/>
      <c r="D23" s="13"/>
      <c r="E23" s="13"/>
      <c r="F23" s="13"/>
      <c r="G23" s="14"/>
    </row>
    <row r="24" ht="14.75" spans="1:7">
      <c r="A24" s="15"/>
      <c r="B24" s="16"/>
      <c r="C24" s="16"/>
      <c r="D24" s="16"/>
      <c r="E24" s="16"/>
      <c r="F24" s="16"/>
      <c r="G24" s="17"/>
    </row>
  </sheetData>
  <mergeCells count="6">
    <mergeCell ref="A1:G1"/>
    <mergeCell ref="A3:G3"/>
    <mergeCell ref="A12:B12"/>
    <mergeCell ref="A14:G14"/>
    <mergeCell ref="A22:G22"/>
    <mergeCell ref="A23:G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功能与实现路径</vt:lpstr>
      <vt:lpstr>成本预算与周期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Remind</cp:lastModifiedBy>
  <dcterms:created xsi:type="dcterms:W3CDTF">2026-07-20T07:10:07Z</dcterms:created>
  <dcterms:modified xsi:type="dcterms:W3CDTF">2026-07-20T07:12:49Z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F79BE06886FE45D992D51C531B3FDFCD_12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